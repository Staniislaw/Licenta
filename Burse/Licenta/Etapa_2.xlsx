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rse 2024-2025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<sst xmlns="http://schemas.openxmlformats.org/spreadsheetml/2006/main" count="54" uniqueCount="54">
  <si>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Program de studiu</t>
  </si>
  <si>
    <t>Nr. Studenți Buget</t>
  </si>
  <si>
    <t>Fond rep.stud.buget pentru bursa de merit, TOTAL</t>
  </si>
  <si>
    <t>Burse acordate, 2024/2025</t>
  </si>
  <si>
    <t>BM1 (B.Perf.1)</t>
  </si>
  <si>
    <t>BM2 (B.Perf.2)</t>
  </si>
  <si>
    <t>Cheltuit bursa de merit</t>
  </si>
  <si>
    <t>Dif.</t>
  </si>
  <si>
    <t>Burse acordate de merit</t>
  </si>
  <si>
    <t>Fond ramas pe program</t>
  </si>
  <si>
    <t>IEN (1)</t>
  </si>
  <si>
    <t>IEN (2)</t>
  </si>
  <si>
    <t>ME (3)</t>
  </si>
  <si>
    <t>ETI (4)</t>
  </si>
  <si>
    <t>SE (1)</t>
  </si>
  <si>
    <t>SE (2)</t>
  </si>
  <si>
    <t>SE (3)</t>
  </si>
  <si>
    <t>SE (4)</t>
  </si>
  <si>
    <t>SE (1)-DUAL</t>
  </si>
  <si>
    <t>AIA (1)</t>
  </si>
  <si>
    <t>AIA (2)</t>
  </si>
  <si>
    <t>AIA (3)</t>
  </si>
  <si>
    <t>AIA (4)</t>
  </si>
  <si>
    <t>AIA (1)-DUAL</t>
  </si>
  <si>
    <t>C (1)</t>
  </si>
  <si>
    <t>C (2)</t>
  </si>
  <si>
    <t>C (3)</t>
  </si>
  <si>
    <t>C (4)</t>
  </si>
  <si>
    <t>C (1)-DUAL</t>
  </si>
  <si>
    <t>IETTI (1)</t>
  </si>
  <si>
    <t>IETTI (2)</t>
  </si>
  <si>
    <t>RST (3)</t>
  </si>
  <si>
    <t>RST (4)</t>
  </si>
  <si>
    <t>ESM (1)</t>
  </si>
  <si>
    <t>ESM (2)</t>
  </si>
  <si>
    <t>ESM (3)</t>
  </si>
  <si>
    <t>ESM (4)</t>
  </si>
  <si>
    <t>ESCCA (1)</t>
  </si>
  <si>
    <t>ESCCA (2)</t>
  </si>
  <si>
    <t>ESCCA (3)</t>
  </si>
  <si>
    <t>ESCCA (4)</t>
  </si>
  <si>
    <t>Total L</t>
  </si>
  <si>
    <t>SIC (1)</t>
  </si>
  <si>
    <t>SIC (2)</t>
  </si>
  <si>
    <t>SMCPE (1)</t>
  </si>
  <si>
    <t>SMCPE (2)</t>
  </si>
  <si>
    <t>TAMAE (1)</t>
  </si>
  <si>
    <t>TAMAE (2)</t>
  </si>
  <si>
    <t>RCC (1)</t>
  </si>
  <si>
    <t>RCC (2)</t>
  </si>
  <si>
    <t>SC (1)</t>
  </si>
  <si>
    <t>SC (2)</t>
  </si>
  <si>
    <t>Total M</t>
  </si>
  <si>
    <t>Total FIESC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</si>
</sst>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 xfId="0" applyAlignment="1">
      <alignment wrapText="1"/>
    </xf>
    <xf numFmtId="0" fontId="1" applyFont="1" borderId="1" applyBorder="1" xfId="0" applyAlignment="1">
      <alignment horizontal="center" vertical="center" wrapText="1"/>
    </xf>
    <xf numFmtId="0" fontId="1" applyFont="1" fillId="2" applyFill="1" borderId="1" applyBorder="1" xfId="0" applyAlignment="1">
      <alignment horizontal="center" vertical="center" wrapText="1" textRotation="90"/>
    </xf>
    <xf numFmtId="0" fontId="1" applyFont="1" borderId="1" applyBorder="1" xfId="0" applyAlignment="1">
      <alignment horizontal="center" vertical="center" wrapText="1" textRotation="90"/>
    </xf>
    <xf numFmtId="0" fontId="0" borderId="1" applyBorder="1" xfId="0" applyAlignment="1">
      <alignment wrapText="1"/>
    </xf>
    <xf numFmtId="0" fontId="0" fillId="2" applyFill="1" borderId="1" applyBorder="1" xfId="0" applyAlignment="1">
      <alignment wrapText="1"/>
    </xf>
    <xf numFmtId="0" fontId="2" applyFont="1" xfId="0" applyAlignment="1">
      <alignment wrapText="1"/>
    </xf>
    <xf numFmtId="4" applyNumberFormat="1" fontId="0" xfId="0" applyAlignment="1">
      <alignment wrapText="1"/>
    </xf>
    <xf numFmtId="4" applyNumberFormat="1" fontId="2" applyFont="1" xfId="0" applyAlignment="1">
      <alignment wrapText="1"/>
    </xf>
    <xf numFmtId="4" applyNumberFormat="1" fontId="0" borderId="1" applyBorder="1" xfId="0" applyAlignment="1">
      <alignment wrapText="1"/>
    </xf>
    <xf numFmtId="0" fontId="2" applyFont="1" borderId="1" applyBorder="1" xfId="0" applyAlignment="1">
      <alignment wrapText="1"/>
    </xf>
    <xf numFmtId="4" applyNumberFormat="1" fontId="2" applyFont="1" borderId="1" applyBorder="1" xfId="0" applyAlignment="1">
      <alignment wrapText="1"/>
    </xf>
    <xf numFmtId="4" applyNumberFormat="1" fontId="0" fillId="3" applyFill="1" borderId="1" applyBorder="1" xfId="0" applyAlignment="1">
      <alignment wrapText="1"/>
    </xf>
    <xf numFmtId="4" applyNumberFormat="1" fontId="0" borderId="1" applyBorder="1" xfId="0" applyAlignment="1">
      <alignment vertical="center" wrapText="1"/>
    </xf>
    <xf numFmtId="4" applyNumberFormat="1" fontId="2" applyFont="1" fillId="3" applyFill="1" borderId="1" applyBorder="1" xfId="0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6:K65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13.57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13.57" customWidth="1" style="1"/>
    <col min="10" max="10" width="9.140625" customWidth="1" style="1"/>
    <col min="11" max="11" width="13.57" customWidth="1" style="1"/>
    <col min="12" max="16384" width="9.140625" customWidth="1" style="1"/>
  </cols>
  <sheetData>
    <row r="16">
      <c r="A16" s="2" t="s">
        <v>0</v>
      </c>
      <c r="B16" s="3" t="s">
        <v>1</v>
      </c>
      <c r="C16" s="4" t="s">
        <v>2</v>
      </c>
      <c r="D16" s="2" t="s">
        <v>3</v>
      </c>
      <c r="E16" s="5"/>
      <c r="F16" s="5"/>
      <c r="G16" s="5"/>
      <c r="H16" s="5"/>
      <c r="I16" s="5"/>
      <c r="J16" s="5"/>
      <c r="K16" s="5"/>
    </row>
    <row r="17">
      <c r="A17" s="5"/>
      <c r="B17" s="6"/>
      <c r="C17" s="5"/>
      <c r="D17" s="2" t="s">
        <v>4</v>
      </c>
      <c r="E17" s="5"/>
      <c r="F17" s="2" t="s">
        <v>5</v>
      </c>
      <c r="G17" s="5"/>
      <c r="H17" s="2" t="s">
        <v>6</v>
      </c>
      <c r="I17" s="2" t="s">
        <v>7</v>
      </c>
      <c r="J17" s="2" t="s">
        <v>8</v>
      </c>
      <c r="K17" s="2" t="s">
        <v>9</v>
      </c>
    </row>
    <row r="18">
      <c r="A18" s="5"/>
      <c r="B18" s="6"/>
      <c r="C18" s="5"/>
      <c r="D18" s="5">
        <v>15600</v>
      </c>
      <c r="E18" s="5"/>
      <c r="F18" s="5">
        <v>14400</v>
      </c>
      <c r="G18" s="5"/>
      <c r="H18" s="5"/>
      <c r="I18" s="5"/>
      <c r="J18" s="5"/>
      <c r="K18" s="5"/>
    </row>
    <row r="19">
      <c r="A19" s="5"/>
      <c r="B19" s="6"/>
      <c r="C19" s="5"/>
      <c r="D19" s="5">
        <v>12155</v>
      </c>
      <c r="E19" s="5"/>
      <c r="F19" s="5">
        <v>11220</v>
      </c>
      <c r="G19" s="5"/>
      <c r="H19" s="5"/>
      <c r="I19" s="5"/>
      <c r="J19" s="5"/>
      <c r="K19" s="5"/>
    </row>
    <row r="20">
      <c r="A20" s="5" t="s">
        <v>10</v>
      </c>
      <c r="B20" s="13">
        <v>25</v>
      </c>
      <c r="C20" s="10">
        <f>(1671770.95/1200)*B20</f>
      </c>
      <c r="D20" s="10">
        <v>1</v>
      </c>
      <c r="E20" s="10"/>
      <c r="F20" s="10">
        <v>1</v>
      </c>
      <c r="G20" s="10"/>
      <c r="H20" s="10">
        <f>D20*$D$18 + E20*$E$18 + F20*$F$18 + G20*$G$18</f>
      </c>
      <c r="I20" s="10">
        <f>C20-H20</f>
      </c>
      <c r="J20" s="10">
        <f>SUM(D20:G20)</f>
      </c>
      <c r="K20" s="14">
        <f>SUM(I20:I23)</f>
      </c>
    </row>
    <row r="21">
      <c r="A21" s="5" t="s">
        <v>11</v>
      </c>
      <c r="B21" s="13">
        <v>12</v>
      </c>
      <c r="C21" s="10">
        <f>(1671770.95/1200)*B21</f>
      </c>
      <c r="D21" s="10">
        <v>0</v>
      </c>
      <c r="E21" s="10"/>
      <c r="F21" s="10">
        <v>1</v>
      </c>
      <c r="G21" s="10"/>
      <c r="H21" s="10">
        <f>D21*$D$18 + E21*$E$18 + F21*$F$18 + G21*$G$18</f>
      </c>
      <c r="I21" s="10">
        <f>C21-H21</f>
      </c>
      <c r="J21" s="10">
        <f>SUM(D21:G21)</f>
      </c>
      <c r="K21" s="14"/>
    </row>
    <row r="22">
      <c r="A22" s="5" t="s">
        <v>12</v>
      </c>
      <c r="B22" s="13">
        <v>15</v>
      </c>
      <c r="C22" s="10">
        <f>(1671770.95/1200)*B22</f>
      </c>
      <c r="D22" s="10">
        <v>1</v>
      </c>
      <c r="E22" s="10"/>
      <c r="F22" s="10">
        <v>1</v>
      </c>
      <c r="G22" s="10"/>
      <c r="H22" s="10">
        <f>D22*$D$18 + E22*$E$18 + F22*$F$18 + G22*$G$18</f>
      </c>
      <c r="I22" s="10">
        <f>C22-H22</f>
      </c>
      <c r="J22" s="10">
        <f>SUM(D22:G22)</f>
      </c>
      <c r="K22" s="14"/>
    </row>
    <row r="23">
      <c r="A23" s="5" t="s">
        <v>13</v>
      </c>
      <c r="B23" s="13">
        <v>5</v>
      </c>
      <c r="C23" s="10">
        <f>(1671770.95/1200)*B23</f>
      </c>
      <c r="D23" s="10"/>
      <c r="E23" s="10"/>
      <c r="F23" s="10"/>
      <c r="G23" s="10"/>
      <c r="H23" s="10">
        <f>D23*$D$19 + E23*$E$19 + F23*$F$19 + G23*$G$19</f>
      </c>
      <c r="I23" s="10">
        <f>C23-H23</f>
      </c>
      <c r="J23" s="10">
        <f>SUM(D23:G23)</f>
      </c>
      <c r="K23" s="14"/>
    </row>
    <row r="24">
      <c r="A24" s="5" t="s">
        <v>14</v>
      </c>
      <c r="B24" s="13">
        <v>38</v>
      </c>
      <c r="C24" s="10">
        <f>(1671770.95/1200)*B24</f>
      </c>
      <c r="D24" s="10">
        <v>2</v>
      </c>
      <c r="E24" s="10"/>
      <c r="F24" s="10">
        <v>2</v>
      </c>
      <c r="G24" s="10"/>
      <c r="H24" s="10">
        <f>D24*$D$18 + E24*$E$18 + F24*$F$18 + G24*$G$18</f>
      </c>
      <c r="I24" s="10">
        <f>C24-H24</f>
      </c>
      <c r="J24" s="10">
        <f>SUM(D24:G24)</f>
      </c>
      <c r="K24" s="14">
        <f>SUM(I24:I27)</f>
      </c>
    </row>
    <row r="25">
      <c r="A25" s="5" t="s">
        <v>15</v>
      </c>
      <c r="B25" s="13">
        <v>22</v>
      </c>
      <c r="C25" s="10">
        <f>(1671770.95/1200)*B25</f>
      </c>
      <c r="D25" s="10">
        <v>0</v>
      </c>
      <c r="E25" s="10"/>
      <c r="F25" s="10">
        <v>2</v>
      </c>
      <c r="G25" s="10"/>
      <c r="H25" s="10">
        <f>D25*$D$18 + E25*$E$18 + F25*$F$18 + G25*$G$18</f>
      </c>
      <c r="I25" s="10">
        <f>C25-H25</f>
      </c>
      <c r="J25" s="10">
        <f>SUM(D25:G25)</f>
      </c>
      <c r="K25" s="14"/>
    </row>
    <row r="26">
      <c r="A26" s="5" t="s">
        <v>16</v>
      </c>
      <c r="B26" s="13">
        <v>13</v>
      </c>
      <c r="C26" s="10">
        <f>(1671770.95/1200)*B26</f>
      </c>
      <c r="D26" s="10">
        <v>1</v>
      </c>
      <c r="E26" s="10"/>
      <c r="F26" s="10">
        <v>0</v>
      </c>
      <c r="G26" s="10"/>
      <c r="H26" s="10">
        <f>D26*$D$18 + E26*$E$18 + F26*$F$18 + G26*$G$18</f>
      </c>
      <c r="I26" s="10">
        <f>C26-H26</f>
      </c>
      <c r="J26" s="10">
        <f>SUM(D26:G26)</f>
      </c>
      <c r="K26" s="14"/>
    </row>
    <row r="27">
      <c r="A27" s="5" t="s">
        <v>17</v>
      </c>
      <c r="B27" s="13">
        <v>15</v>
      </c>
      <c r="C27" s="10">
        <f>(1671770.95/1200)*B27</f>
      </c>
      <c r="D27" s="10">
        <v>1</v>
      </c>
      <c r="E27" s="10"/>
      <c r="F27" s="10">
        <v>0</v>
      </c>
      <c r="G27" s="10"/>
      <c r="H27" s="10">
        <f>D27*$D$19 + E27*$E$19 + F27*$F$19 + G27*$G$19</f>
      </c>
      <c r="I27" s="10">
        <f>C27-H27</f>
      </c>
      <c r="J27" s="10">
        <f>SUM(D27:G27)</f>
      </c>
      <c r="K27" s="14"/>
    </row>
    <row r="28">
      <c r="A28" s="5" t="s">
        <v>18</v>
      </c>
      <c r="B28" s="13">
        <v>13</v>
      </c>
      <c r="C28" s="10">
        <f>(1671770.95/1200)*B28</f>
      </c>
      <c r="D28" s="10">
        <v>1</v>
      </c>
      <c r="E28" s="10"/>
      <c r="F28" s="10">
        <v>0</v>
      </c>
      <c r="G28" s="10"/>
      <c r="H28" s="10">
        <f>D28*$D$18 + E28*$E$18 + F28*$F$18 + G28*$G$18</f>
      </c>
      <c r="I28" s="10">
        <f>C28-H28</f>
      </c>
      <c r="J28" s="10">
        <f>SUM(D28:G28)</f>
      </c>
      <c r="K28" s="14">
        <f>SUM(I28:I28)</f>
      </c>
    </row>
    <row r="29">
      <c r="A29" s="5" t="s">
        <v>19</v>
      </c>
      <c r="B29" s="13">
        <v>39</v>
      </c>
      <c r="C29" s="10">
        <f>(1671770.95/1200)*B29</f>
      </c>
      <c r="D29" s="10">
        <v>1</v>
      </c>
      <c r="E29" s="10"/>
      <c r="F29" s="10">
        <v>4</v>
      </c>
      <c r="G29" s="10"/>
      <c r="H29" s="10">
        <f>D29*$D$18 + E29*$E$18 + F29*$F$18 + G29*$G$18</f>
      </c>
      <c r="I29" s="10">
        <f>C29-H29</f>
      </c>
      <c r="J29" s="10">
        <f>SUM(D29:G29)</f>
      </c>
      <c r="K29" s="14">
        <f>SUM(I29:I32)</f>
      </c>
    </row>
    <row r="30">
      <c r="A30" s="5" t="s">
        <v>20</v>
      </c>
      <c r="B30" s="13">
        <v>30</v>
      </c>
      <c r="C30" s="10">
        <f>(1671770.95/1200)*B30</f>
      </c>
      <c r="D30" s="10">
        <v>1</v>
      </c>
      <c r="E30" s="10"/>
      <c r="F30" s="10">
        <v>1</v>
      </c>
      <c r="G30" s="10"/>
      <c r="H30" s="10">
        <f>D30*$D$18 + E30*$E$18 + F30*$F$18 + G30*$G$18</f>
      </c>
      <c r="I30" s="10">
        <f>C30-H30</f>
      </c>
      <c r="J30" s="10">
        <f>SUM(D30:G30)</f>
      </c>
      <c r="K30" s="14"/>
    </row>
    <row r="31">
      <c r="A31" s="5" t="s">
        <v>21</v>
      </c>
      <c r="B31" s="13">
        <v>27</v>
      </c>
      <c r="C31" s="10">
        <f>(1671770.95/1200)*B31</f>
      </c>
      <c r="D31" s="10">
        <v>1</v>
      </c>
      <c r="E31" s="10"/>
      <c r="F31" s="10">
        <v>1</v>
      </c>
      <c r="G31" s="10"/>
      <c r="H31" s="10">
        <f>D31*$D$18 + E31*$E$18 + F31*$F$18 + G31*$G$18</f>
      </c>
      <c r="I31" s="10">
        <f>C31-H31</f>
      </c>
      <c r="J31" s="10">
        <f>SUM(D31:G31)</f>
      </c>
      <c r="K31" s="14"/>
    </row>
    <row r="32">
      <c r="A32" s="5" t="s">
        <v>22</v>
      </c>
      <c r="B32" s="13">
        <v>19</v>
      </c>
      <c r="C32" s="10">
        <f>(1671770.95/1200)*B32</f>
      </c>
      <c r="D32" s="10">
        <v>1</v>
      </c>
      <c r="E32" s="10"/>
      <c r="F32" s="10">
        <v>1</v>
      </c>
      <c r="G32" s="10"/>
      <c r="H32" s="10">
        <f>D32*$D$19 + E32*$E$19 + F32*$F$19 + G32*$G$19</f>
      </c>
      <c r="I32" s="10">
        <f>C32-H32</f>
      </c>
      <c r="J32" s="10">
        <f>SUM(D32:G32)</f>
      </c>
      <c r="K32" s="14"/>
    </row>
    <row r="33">
      <c r="A33" s="5" t="s">
        <v>23</v>
      </c>
      <c r="B33" s="13">
        <v>9</v>
      </c>
      <c r="C33" s="10">
        <f>(1671770.95/1200)*B33</f>
      </c>
      <c r="D33" s="10"/>
      <c r="E33" s="10"/>
      <c r="F33" s="10"/>
      <c r="G33" s="10"/>
      <c r="H33" s="10">
        <f>D33*$D$18 + E33*$E$18 + F33*$F$18 + G33*$G$18</f>
      </c>
      <c r="I33" s="10">
        <f>C33-H33</f>
      </c>
      <c r="J33" s="10">
        <f>SUM(D33:G33)</f>
      </c>
      <c r="K33" s="14">
        <f>SUM(I33:I33)</f>
      </c>
    </row>
    <row r="34">
      <c r="A34" s="5" t="s">
        <v>24</v>
      </c>
      <c r="B34" s="13">
        <v>118</v>
      </c>
      <c r="C34" s="10">
        <f>(1671770.95/1200)*B34</f>
      </c>
      <c r="D34" s="10">
        <v>2</v>
      </c>
      <c r="E34" s="10"/>
      <c r="F34" s="10">
        <v>10</v>
      </c>
      <c r="G34" s="10"/>
      <c r="H34" s="10">
        <f>D34*$D$18 + E34*$E$18 + F34*$F$18 + G34*$G$18</f>
      </c>
      <c r="I34" s="10">
        <f>C34-H34</f>
      </c>
      <c r="J34" s="10">
        <f>SUM(D34:G34)</f>
      </c>
      <c r="K34" s="14">
        <f>SUM(I34:I37)</f>
      </c>
    </row>
    <row r="35">
      <c r="A35" s="5" t="s">
        <v>25</v>
      </c>
      <c r="B35" s="13">
        <v>119</v>
      </c>
      <c r="C35" s="10">
        <f>(1671770.95/1200)*B35</f>
      </c>
      <c r="D35" s="10">
        <v>1</v>
      </c>
      <c r="E35" s="10"/>
      <c r="F35" s="10">
        <v>10</v>
      </c>
      <c r="G35" s="10"/>
      <c r="H35" s="10">
        <f>D35*$D$18 + E35*$E$18 + F35*$F$18 + G35*$G$18</f>
      </c>
      <c r="I35" s="10">
        <f>C35-H35</f>
      </c>
      <c r="J35" s="10">
        <f>SUM(D35:G35)</f>
      </c>
      <c r="K35" s="14"/>
    </row>
    <row r="36">
      <c r="A36" s="5" t="s">
        <v>26</v>
      </c>
      <c r="B36" s="13">
        <v>83</v>
      </c>
      <c r="C36" s="10">
        <f>(1671770.95/1200)*B36</f>
      </c>
      <c r="D36" s="10">
        <v>1</v>
      </c>
      <c r="E36" s="10"/>
      <c r="F36" s="10">
        <v>6</v>
      </c>
      <c r="G36" s="10"/>
      <c r="H36" s="10">
        <f>D36*$D$18 + E36*$E$18 + F36*$F$18 + G36*$G$18</f>
      </c>
      <c r="I36" s="10">
        <f>C36-H36</f>
      </c>
      <c r="J36" s="10">
        <f>SUM(D36:G36)</f>
      </c>
      <c r="K36" s="14"/>
    </row>
    <row r="37">
      <c r="A37" s="5" t="s">
        <v>27</v>
      </c>
      <c r="B37" s="13">
        <v>83</v>
      </c>
      <c r="C37" s="10">
        <f>(1671770.95/1200)*B37</f>
      </c>
      <c r="D37" s="10">
        <v>1</v>
      </c>
      <c r="E37" s="10"/>
      <c r="F37" s="10">
        <v>9</v>
      </c>
      <c r="G37" s="10"/>
      <c r="H37" s="10">
        <f>D37*$D$19 + E37*$E$19 + F37*$F$19 + G37*$G$19</f>
      </c>
      <c r="I37" s="10">
        <f>C37-H37</f>
      </c>
      <c r="J37" s="10">
        <f>SUM(D37:G37)</f>
      </c>
      <c r="K37" s="14"/>
    </row>
    <row r="38">
      <c r="A38" s="5" t="s">
        <v>28</v>
      </c>
      <c r="B38" s="13">
        <v>31</v>
      </c>
      <c r="C38" s="10">
        <f>(1671770.95/1200)*B38</f>
      </c>
      <c r="D38" s="10">
        <v>1</v>
      </c>
      <c r="E38" s="10"/>
      <c r="F38" s="10">
        <v>1</v>
      </c>
      <c r="G38" s="10"/>
      <c r="H38" s="10">
        <f>D38*$D$18 + E38*$E$18 + F38*$F$18 + G38*$G$18</f>
      </c>
      <c r="I38" s="10">
        <f>C38-H38</f>
      </c>
      <c r="J38" s="10">
        <f>SUM(D38:G38)</f>
      </c>
      <c r="K38" s="14">
        <f>SUM(I38:I38)</f>
      </c>
    </row>
    <row r="39">
      <c r="A39" s="5" t="s">
        <v>29</v>
      </c>
      <c r="B39" s="13">
        <v>39</v>
      </c>
      <c r="C39" s="10">
        <f>(1671770.95/1200)*B39</f>
      </c>
      <c r="D39" s="10">
        <v>1</v>
      </c>
      <c r="E39" s="10"/>
      <c r="F39" s="10">
        <v>4</v>
      </c>
      <c r="G39" s="10"/>
      <c r="H39" s="10">
        <f>D39*$D$18 + E39*$E$18 + F39*$F$18 + G39*$G$18</f>
      </c>
      <c r="I39" s="10">
        <f>C39-H39</f>
      </c>
      <c r="J39" s="10">
        <f>SUM(D39:G39)</f>
      </c>
      <c r="K39" s="14">
        <f>SUM(I39:I42)</f>
      </c>
    </row>
    <row r="40">
      <c r="A40" s="5" t="s">
        <v>30</v>
      </c>
      <c r="B40" s="13">
        <v>19</v>
      </c>
      <c r="C40" s="10">
        <f>(1671770.95/1200)*B40</f>
      </c>
      <c r="D40" s="10">
        <v>0</v>
      </c>
      <c r="E40" s="10"/>
      <c r="F40" s="10">
        <v>1</v>
      </c>
      <c r="G40" s="10"/>
      <c r="H40" s="10">
        <f>D40*$D$18 + E40*$E$18 + F40*$F$18 + G40*$G$18</f>
      </c>
      <c r="I40" s="10">
        <f>C40-H40</f>
      </c>
      <c r="J40" s="10">
        <f>SUM(D40:G40)</f>
      </c>
      <c r="K40" s="14"/>
    </row>
    <row r="41">
      <c r="A41" s="5" t="s">
        <v>31</v>
      </c>
      <c r="B41" s="13">
        <v>24</v>
      </c>
      <c r="C41" s="10">
        <f>(1671770.95/1200)*B41</f>
      </c>
      <c r="D41" s="10">
        <v>1</v>
      </c>
      <c r="E41" s="10"/>
      <c r="F41" s="10">
        <v>1</v>
      </c>
      <c r="G41" s="10"/>
      <c r="H41" s="10">
        <f>D41*$D$18 + E41*$E$18 + F41*$F$18 + G41*$G$18</f>
      </c>
      <c r="I41" s="10">
        <f>C41-H41</f>
      </c>
      <c r="J41" s="10">
        <f>SUM(D41:G41)</f>
      </c>
      <c r="K41" s="14"/>
    </row>
    <row r="42">
      <c r="A42" s="5" t="s">
        <v>32</v>
      </c>
      <c r="B42" s="13">
        <v>12</v>
      </c>
      <c r="C42" s="10">
        <f>(1671770.95/1200)*B42</f>
      </c>
      <c r="D42" s="10">
        <v>0</v>
      </c>
      <c r="E42" s="10"/>
      <c r="F42" s="10">
        <v>1</v>
      </c>
      <c r="G42" s="10"/>
      <c r="H42" s="10">
        <f>D42*$D$19 + E42*$E$19 + F42*$F$19 + G42*$G$19</f>
      </c>
      <c r="I42" s="10">
        <f>C42-H42</f>
      </c>
      <c r="J42" s="10">
        <f>SUM(D42:G42)</f>
      </c>
      <c r="K42" s="14"/>
    </row>
    <row r="43">
      <c r="A43" s="5" t="s">
        <v>33</v>
      </c>
      <c r="B43" s="13">
        <v>21</v>
      </c>
      <c r="C43" s="10">
        <f>(1671770.95/1200)*B43</f>
      </c>
      <c r="D43" s="10">
        <v>0</v>
      </c>
      <c r="E43" s="10"/>
      <c r="F43" s="10">
        <v>2</v>
      </c>
      <c r="G43" s="10"/>
      <c r="H43" s="10">
        <f>D43*$D$18 + E43*$E$18 + F43*$F$18 + G43*$G$18</f>
      </c>
      <c r="I43" s="10">
        <f>C43-H43</f>
      </c>
      <c r="J43" s="10">
        <f>SUM(D43:G43)</f>
      </c>
      <c r="K43" s="14">
        <f>SUM(I43:I46)</f>
      </c>
    </row>
    <row r="44">
      <c r="A44" s="5" t="s">
        <v>34</v>
      </c>
      <c r="B44" s="13">
        <v>18</v>
      </c>
      <c r="C44" s="10">
        <f>(1671770.95/1200)*B44</f>
      </c>
      <c r="D44" s="10">
        <v>1</v>
      </c>
      <c r="E44" s="10"/>
      <c r="F44" s="10">
        <v>0</v>
      </c>
      <c r="G44" s="10"/>
      <c r="H44" s="10">
        <f>D44*$D$18 + E44*$E$18 + F44*$F$18 + G44*$G$18</f>
      </c>
      <c r="I44" s="10">
        <f>C44-H44</f>
      </c>
      <c r="J44" s="10">
        <f>SUM(D44:G44)</f>
      </c>
      <c r="K44" s="14"/>
    </row>
    <row r="45">
      <c r="A45" s="5" t="s">
        <v>35</v>
      </c>
      <c r="B45" s="13">
        <v>9</v>
      </c>
      <c r="C45" s="10">
        <f>(1671770.95/1200)*B45</f>
      </c>
      <c r="D45" s="10"/>
      <c r="E45" s="10"/>
      <c r="F45" s="10"/>
      <c r="G45" s="10"/>
      <c r="H45" s="10">
        <f>D45*$D$18 + E45*$E$18 + F45*$F$18 + G45*$G$18</f>
      </c>
      <c r="I45" s="10">
        <f>C45-H45</f>
      </c>
      <c r="J45" s="10">
        <f>SUM(D45:G45)</f>
      </c>
      <c r="K45" s="14"/>
    </row>
    <row r="46">
      <c r="A46" s="5" t="s">
        <v>36</v>
      </c>
      <c r="B46" s="13">
        <v>9</v>
      </c>
      <c r="C46" s="10">
        <f>(1671770.95/1200)*B46</f>
      </c>
      <c r="D46" s="10">
        <v>1</v>
      </c>
      <c r="E46" s="10"/>
      <c r="F46" s="10">
        <v>1</v>
      </c>
      <c r="G46" s="10"/>
      <c r="H46" s="10">
        <f>D46*$D$19 + E46*$E$19 + F46*$F$19 + G46*$G$19</f>
      </c>
      <c r="I46" s="10">
        <f>C46-H46</f>
      </c>
      <c r="J46" s="10">
        <f>SUM(D46:G46)</f>
      </c>
      <c r="K46" s="14"/>
    </row>
    <row r="47">
      <c r="A47" s="5" t="s">
        <v>37</v>
      </c>
      <c r="B47" s="13">
        <v>25</v>
      </c>
      <c r="C47" s="10">
        <f>(1671770.95/1200)*B47</f>
      </c>
      <c r="D47" s="10">
        <v>1</v>
      </c>
      <c r="E47" s="10"/>
      <c r="F47" s="10">
        <v>1</v>
      </c>
      <c r="G47" s="10"/>
      <c r="H47" s="10">
        <f>D47*$D$18 + E47*$E$18 + F47*$F$18 + G47*$G$18</f>
      </c>
      <c r="I47" s="10">
        <f>C47-H47</f>
      </c>
      <c r="J47" s="10">
        <f>SUM(D47:G47)</f>
      </c>
      <c r="K47" s="14">
        <f>SUM(I47:I50)</f>
      </c>
    </row>
    <row r="48">
      <c r="A48" s="5" t="s">
        <v>38</v>
      </c>
      <c r="B48" s="13">
        <v>11</v>
      </c>
      <c r="C48" s="10">
        <f>(1671770.95/1200)*B48</f>
      </c>
      <c r="D48" s="10">
        <v>0</v>
      </c>
      <c r="E48" s="10"/>
      <c r="F48" s="10">
        <v>1</v>
      </c>
      <c r="G48" s="10"/>
      <c r="H48" s="10">
        <f>D48*$D$18 + E48*$E$18 + F48*$F$18 + G48*$G$18</f>
      </c>
      <c r="I48" s="10">
        <f>C48-H48</f>
      </c>
      <c r="J48" s="10">
        <f>SUM(D48:G48)</f>
      </c>
      <c r="K48" s="14"/>
    </row>
    <row r="49">
      <c r="A49" s="5" t="s">
        <v>39</v>
      </c>
      <c r="B49" s="13">
        <v>14</v>
      </c>
      <c r="C49" s="10">
        <f>(1671770.95/1200)*B49</f>
      </c>
      <c r="D49" s="10">
        <v>1</v>
      </c>
      <c r="E49" s="10"/>
      <c r="F49" s="10">
        <v>1</v>
      </c>
      <c r="G49" s="10"/>
      <c r="H49" s="10">
        <f>D49*$D$18 + E49*$E$18 + F49*$F$18 + G49*$G$18</f>
      </c>
      <c r="I49" s="10">
        <f>C49-H49</f>
      </c>
      <c r="J49" s="10">
        <f>SUM(D49:G49)</f>
      </c>
      <c r="K49" s="14"/>
    </row>
    <row r="50">
      <c r="A50" s="5" t="s">
        <v>40</v>
      </c>
      <c r="B50" s="13">
        <v>13</v>
      </c>
      <c r="C50" s="10">
        <f>(1671770.95/1200)*B50</f>
      </c>
      <c r="D50" s="10">
        <v>1</v>
      </c>
      <c r="E50" s="10"/>
      <c r="F50" s="10">
        <v>0</v>
      </c>
      <c r="G50" s="10"/>
      <c r="H50" s="10">
        <f>D50*$D$19 + E50*$E$19 + F50*$F$19 + G50*$G$19</f>
      </c>
      <c r="I50" s="10">
        <f>C50-H50</f>
      </c>
      <c r="J50" s="10">
        <f>SUM(D50:G50)</f>
      </c>
      <c r="K50" s="14"/>
    </row>
    <row r="51">
      <c r="A51" s="11" t="s">
        <v>41</v>
      </c>
      <c r="B51" s="15">
        <f>SUM(B20:B50)</f>
      </c>
      <c r="C51" s="12">
        <f>SUM(C20:C50)</f>
      </c>
      <c r="D51" s="12">
        <f>SUM(D20:D50)</f>
      </c>
      <c r="E51" s="12">
        <f>SUM(E20:E50)</f>
      </c>
      <c r="F51" s="12">
        <f>SUM(F20:F50)</f>
      </c>
      <c r="G51" s="12">
        <f>SUM(G20:G50)</f>
      </c>
      <c r="H51" s="12">
        <f>SUM(H20:H50)</f>
      </c>
      <c r="I51" s="12">
        <f>SUM(I20:I50)</f>
      </c>
      <c r="J51" s="12">
        <f>SUM(J20:J50)</f>
      </c>
      <c r="K51" s="12">
        <f>SUM(K20:K50)</f>
      </c>
    </row>
    <row r="52">
      <c r="A52" s="5" t="s">
        <v>42</v>
      </c>
      <c r="B52" s="13">
        <v>41</v>
      </c>
      <c r="C52" s="10">
        <f>(1671770.95/1200)*B52</f>
      </c>
      <c r="D52" s="10">
        <v>3</v>
      </c>
      <c r="E52" s="10"/>
      <c r="F52" s="10">
        <v>1</v>
      </c>
      <c r="G52" s="10"/>
      <c r="H52" s="10">
        <f>D52*$D$18 + E52*$E$18 + F52*$F$18 + G52*$G$18</f>
      </c>
      <c r="I52" s="10">
        <f>C52-H52</f>
      </c>
      <c r="J52" s="10">
        <f>SUM(D52:G52)</f>
      </c>
      <c r="K52" s="14">
        <f>SUM(I52:I53)</f>
      </c>
    </row>
    <row r="53">
      <c r="A53" s="5" t="s">
        <v>43</v>
      </c>
      <c r="B53" s="13">
        <v>40</v>
      </c>
      <c r="C53" s="10">
        <f>(1671770.95/1200)*B53</f>
      </c>
      <c r="D53" s="10">
        <v>1</v>
      </c>
      <c r="E53" s="10"/>
      <c r="F53" s="10">
        <v>3</v>
      </c>
      <c r="G53" s="10"/>
      <c r="H53" s="10">
        <f>D53*$D$19 + E53*$E$19 + F53*$F$19 + G53*$G$19</f>
      </c>
      <c r="I53" s="10">
        <f>C53-H53</f>
      </c>
      <c r="J53" s="10">
        <f>SUM(D53:G53)</f>
      </c>
      <c r="K53" s="14"/>
    </row>
    <row r="54">
      <c r="A54" s="5" t="s">
        <v>44</v>
      </c>
      <c r="B54" s="13">
        <v>21</v>
      </c>
      <c r="C54" s="10">
        <f>(1671770.95/1200)*B54</f>
      </c>
      <c r="D54" s="10">
        <v>0</v>
      </c>
      <c r="E54" s="10"/>
      <c r="F54" s="10">
        <v>2</v>
      </c>
      <c r="G54" s="10"/>
      <c r="H54" s="10">
        <f>D54*$D$18 + E54*$E$18 + F54*$F$18 + G54*$G$18</f>
      </c>
      <c r="I54" s="10">
        <f>C54-H54</f>
      </c>
      <c r="J54" s="10">
        <f>SUM(D54:G54)</f>
      </c>
      <c r="K54" s="14">
        <f>SUM(I54:I55)</f>
      </c>
    </row>
    <row r="55">
      <c r="A55" s="5" t="s">
        <v>45</v>
      </c>
      <c r="B55" s="13">
        <v>21</v>
      </c>
      <c r="C55" s="10">
        <f>(1671770.95/1200)*B55</f>
      </c>
      <c r="D55" s="10">
        <v>0</v>
      </c>
      <c r="E55" s="10"/>
      <c r="F55" s="10">
        <v>2</v>
      </c>
      <c r="G55" s="10"/>
      <c r="H55" s="10">
        <f>D55*$D$19 + E55*$E$19 + F55*$F$19 + G55*$G$19</f>
      </c>
      <c r="I55" s="10">
        <f>C55-H55</f>
      </c>
      <c r="J55" s="10">
        <f>SUM(D55:G55)</f>
      </c>
      <c r="K55" s="14"/>
    </row>
    <row r="56">
      <c r="A56" s="5" t="s">
        <v>46</v>
      </c>
      <c r="B56" s="13">
        <v>20</v>
      </c>
      <c r="C56" s="10">
        <f>(1671770.95/1200)*B56</f>
      </c>
      <c r="D56" s="10">
        <v>1</v>
      </c>
      <c r="E56" s="10"/>
      <c r="F56" s="10">
        <v>1</v>
      </c>
      <c r="G56" s="10"/>
      <c r="H56" s="10">
        <f>D56*$D$18 + E56*$E$18 + F56*$F$18 + G56*$G$18</f>
      </c>
      <c r="I56" s="10">
        <f>C56-H56</f>
      </c>
      <c r="J56" s="10">
        <f>SUM(D56:G56)</f>
      </c>
      <c r="K56" s="14">
        <f>SUM(I56:I57)</f>
      </c>
    </row>
    <row r="57">
      <c r="A57" s="5" t="s">
        <v>47</v>
      </c>
      <c r="B57" s="13">
        <v>18</v>
      </c>
      <c r="C57" s="10">
        <f>(1671770.95/1200)*B57</f>
      </c>
      <c r="D57" s="10">
        <v>0</v>
      </c>
      <c r="E57" s="10"/>
      <c r="F57" s="10">
        <v>2</v>
      </c>
      <c r="G57" s="10"/>
      <c r="H57" s="10">
        <f>D57*$D$19 + E57*$E$19 + F57*$F$19 + G57*$G$19</f>
      </c>
      <c r="I57" s="10">
        <f>C57-H57</f>
      </c>
      <c r="J57" s="10">
        <f>SUM(D57:G57)</f>
      </c>
      <c r="K57" s="14"/>
    </row>
    <row r="58">
      <c r="A58" s="5" t="s">
        <v>48</v>
      </c>
      <c r="B58" s="13">
        <v>30</v>
      </c>
      <c r="C58" s="10">
        <f>(1671770.95/1200)*B58</f>
      </c>
      <c r="D58" s="10">
        <v>2</v>
      </c>
      <c r="E58" s="10"/>
      <c r="F58" s="10">
        <v>0</v>
      </c>
      <c r="G58" s="10"/>
      <c r="H58" s="10">
        <f>D58*$D$18 + E58*$E$18 + F58*$F$18 + G58*$G$18</f>
      </c>
      <c r="I58" s="10">
        <f>C58-H58</f>
      </c>
      <c r="J58" s="10">
        <f>SUM(D58:G58)</f>
      </c>
      <c r="K58" s="14">
        <f>SUM(I58:I59)</f>
      </c>
    </row>
    <row r="59">
      <c r="A59" s="5" t="s">
        <v>49</v>
      </c>
      <c r="B59" s="13">
        <v>27</v>
      </c>
      <c r="C59" s="10">
        <f>(1671770.95/1200)*B59</f>
      </c>
      <c r="D59" s="10">
        <v>1</v>
      </c>
      <c r="E59" s="10"/>
      <c r="F59" s="10">
        <v>2</v>
      </c>
      <c r="G59" s="10"/>
      <c r="H59" s="10">
        <f>D59*$D$19 + E59*$E$19 + F59*$F$19 + G59*$G$19</f>
      </c>
      <c r="I59" s="10">
        <f>C59-H59</f>
      </c>
      <c r="J59" s="10">
        <f>SUM(D59:G59)</f>
      </c>
      <c r="K59" s="14"/>
    </row>
    <row r="60">
      <c r="A60" s="5" t="s">
        <v>50</v>
      </c>
      <c r="B60" s="13">
        <v>37</v>
      </c>
      <c r="C60" s="10">
        <f>(1671770.95/1200)*B60</f>
      </c>
      <c r="D60" s="10">
        <v>1</v>
      </c>
      <c r="E60" s="10"/>
      <c r="F60" s="10">
        <v>3</v>
      </c>
      <c r="G60" s="10"/>
      <c r="H60" s="10">
        <f>D60*$D$18 + E60*$E$18 + F60*$F$18 + G60*$G$18</f>
      </c>
      <c r="I60" s="10">
        <f>C60-H60</f>
      </c>
      <c r="J60" s="10">
        <f>SUM(D60:G60)</f>
      </c>
      <c r="K60" s="14">
        <f>SUM(I60:I61)</f>
      </c>
    </row>
    <row r="61">
      <c r="A61" s="5" t="s">
        <v>51</v>
      </c>
      <c r="B61" s="13">
        <v>15</v>
      </c>
      <c r="C61" s="10">
        <f>(1671770.95/1200)*B61</f>
      </c>
      <c r="D61" s="10">
        <v>1</v>
      </c>
      <c r="E61" s="10"/>
      <c r="F61" s="10">
        <v>0</v>
      </c>
      <c r="G61" s="10"/>
      <c r="H61" s="10">
        <f>D61*$D$19 + E61*$E$19 + F61*$F$19 + G61*$G$19</f>
      </c>
      <c r="I61" s="10">
        <f>C61-H61</f>
      </c>
      <c r="J61" s="10">
        <f>SUM(D61:G61)</f>
      </c>
      <c r="K61" s="14"/>
    </row>
    <row r="62">
      <c r="A62" s="11" t="s">
        <v>52</v>
      </c>
      <c r="B62" s="15">
        <f>SUM(B52:B61)</f>
      </c>
      <c r="C62" s="12">
        <f>SUM(C52:C61)</f>
      </c>
      <c r="D62" s="12">
        <f>SUM(D52:D61)</f>
      </c>
      <c r="E62" s="12">
        <f>SUM(E52:E61)</f>
      </c>
      <c r="F62" s="12">
        <f>SUM(F52:F61)</f>
      </c>
      <c r="G62" s="12">
        <f>SUM(G52:G61)</f>
      </c>
      <c r="H62" s="12">
        <f>SUM(H52:H61)</f>
      </c>
      <c r="I62" s="12">
        <f>SUM(I52:I61)</f>
      </c>
      <c r="J62" s="12">
        <f>SUM(J52:J61)</f>
      </c>
      <c r="K62" s="12">
        <f>SUM(K52:K61)</f>
      </c>
    </row>
    <row r="63">
      <c r="A63" s="11" t="s">
        <v>53</v>
      </c>
      <c r="B63" s="15">
        <f>B51 + B62</f>
      </c>
      <c r="C63" s="12">
        <f>C51 + C62</f>
      </c>
      <c r="D63" s="12">
        <f>D51 + D62</f>
      </c>
      <c r="E63" s="12">
        <f>E51 + E62</f>
      </c>
      <c r="F63" s="12">
        <f>F51 + F62</f>
      </c>
      <c r="G63" s="12">
        <f>G51 + G62</f>
      </c>
      <c r="H63" s="12">
        <f>H51 + H62</f>
      </c>
      <c r="I63" s="12">
        <f>I51 + I62</f>
      </c>
      <c r="J63" s="12">
        <f>J51 + J62</f>
      </c>
      <c r="K63" s="12">
        <f>K51 + K62</f>
      </c>
    </row>
    <row r="64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B65" s="8"/>
      <c r="C65" s="8"/>
      <c r="D65" s="8"/>
      <c r="E65" s="8"/>
      <c r="F65" s="8"/>
      <c r="G65" s="8"/>
      <c r="H65" s="8"/>
      <c r="I65" s="8"/>
      <c r="J65" s="8"/>
      <c r="K65" s="8"/>
    </row>
  </sheetData>
  <mergeCells>
    <mergeCell ref="A16:A19"/>
    <mergeCell ref="B16:B19"/>
    <mergeCell ref="C16:C19"/>
    <mergeCell ref="D16:K16"/>
    <mergeCell ref="D17:E17"/>
    <mergeCell ref="F17:G17"/>
    <mergeCell ref="H17:H19"/>
    <mergeCell ref="I17:I19"/>
    <mergeCell ref="J17:J19"/>
    <mergeCell ref="K17:K19"/>
    <mergeCell ref="K20:K23"/>
    <mergeCell ref="K24:K27"/>
    <mergeCell ref="K28:K28"/>
    <mergeCell ref="K29:K32"/>
    <mergeCell ref="K33:K33"/>
    <mergeCell ref="K34:K37"/>
    <mergeCell ref="K38:K38"/>
    <mergeCell ref="K39:K42"/>
    <mergeCell ref="K43:K46"/>
    <mergeCell ref="K47:K50"/>
    <mergeCell ref="K52:K53"/>
    <mergeCell ref="K54:K55"/>
    <mergeCell ref="K56:K57"/>
    <mergeCell ref="K58:K59"/>
    <mergeCell ref="K60:K61"/>
  </mergeCells>
  <headerFooter/>
</worksheet>
</file>