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<sst xmlns="http://schemas.openxmlformats.org/spreadsheetml/2006/main" count="58" uniqueCount="58">
  <si>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</si>
  <si>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</si>
  <si>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</si>
  <si>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</si>
  <si>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</si>
  <si>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</si>
  <si>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</si>
  <si>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</si>
  <si>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</si>
  <si>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</si>
  <si>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</si>
  <si>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</si>
  <si>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</si>
  <si>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</si>
  <si>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</si>
  <si>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</si>
  <si>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</si>
  <si>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</si>
  <si>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</si>
  <si>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</si>
  <si>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</si>
  <si>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</si>
  <si>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</si>
  <si>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</si>
  <si>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</si>
  <si>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Etapa :1 ,Studentul Emplid: 98 Nume: , Bursa: BP2, Program: C (1), cu media 9.68 are aceeași medie ca studentul Emplid: 99, Nume: , Bursa: NU, Program: C (1), dar nu a primit bursă.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</si>
  <si>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</si>
  <si>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</si>
  <si>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</si>
  <si>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</si>
  <si>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</si>
  <si>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</si>
  <si>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</si>
  <si>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</si>
  <si>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</si>
  <si>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</si>
  <si>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</si>
  <si>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</si>
  <si>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</si>
  <si>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</si>
  <si>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</si>
  <si>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</si>
  <si>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</si>
  <si>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</si>
  <si>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Etapa :1 ,Studentul Emplid: 654 Nume: , Bursa: BP2, Program: SIC (1), cu media 9.925 are aceeași medie ca studentul Emplid: 655, Nume: , Bursa: NU, Program: SIC (1), dar nu a primit bursă.</t>
  </si>
  <si>
    <t>SIC (2)</t>
  </si>
  <si>
    <t>SMCPE (1)</t>
  </si>
  <si>
    <t>SMCPE (2)</t>
  </si>
  <si>
    <t>TAMAE (1)</t>
  </si>
  <si>
    <t>Etapa :0 ,Studentul Emplid: 10000015 Nume: , Bursa: BP1, Program: TAMAE (1), cu media 10 are aceeași medie ca studentul Emplid: 10000016, Nume: , Bursa: NU, Program: TAMAE (1), dar nu a primit bursă.</t>
  </si>
  <si>
    <t>TAMAE (2)</t>
  </si>
  <si>
    <t>RCC (1)</t>
  </si>
  <si>
    <t>RCC (2)</t>
  </si>
  <si>
    <t>Etapa :0 ,Studentul Emplid: 3036 Nume: , Bursa: BP1, Program: RCC (2), cu media 9.58 are aceeași medie ca studentul Emplid: 3037, Nume: , Bursa: NU, Program: RCC (2), dar nu a primit bursă.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</si>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</sst>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  <fill>
      <patternFill patternType="solid">
        <fgColor rgb="FFFF0000"/>
      </patternFill>
    </fill>
    <fill>
      <patternFill patternType="solid">
        <fgColor rgb="FFF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  <xf numFmtId="0" fontId="3" applyFont="1" fillId="4" applyFill="1" xfId="0" applyAlignment="1"/>
    <xf numFmtId="0" fontId="3" applyFont="1" fillId="5" applyFill="1" borderId="1" applyBorder="1" xfId="0" applyAlignment="1">
      <alignment wrapText="1"/>
    </xf>
    <xf numFmtId="4" applyNumberFormat="1" fontId="3" applyFont="1" fillId="5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L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2" width="15" customWidth="1" style="1"/>
    <col min="13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>
        <v>1</v>
      </c>
      <c r="E20" s="10"/>
      <c r="F20" s="10">
        <v>1</v>
      </c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>
        <v>0</v>
      </c>
      <c r="E21" s="10"/>
      <c r="F21" s="10">
        <v>1</v>
      </c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>
        <v>1</v>
      </c>
      <c r="E22" s="10"/>
      <c r="F22" s="10">
        <v>1</v>
      </c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>
        <v>0</v>
      </c>
      <c r="E23" s="10"/>
      <c r="F23" s="10">
        <v>1</v>
      </c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>
        <v>2</v>
      </c>
      <c r="E24" s="10"/>
      <c r="F24" s="10">
        <v>2</v>
      </c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>
        <v>0</v>
      </c>
      <c r="E25" s="10"/>
      <c r="F25" s="10">
        <v>2</v>
      </c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>
        <v>1</v>
      </c>
      <c r="E26" s="10"/>
      <c r="F26" s="10">
        <v>0</v>
      </c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>
        <v>1</v>
      </c>
      <c r="E27" s="10"/>
      <c r="F27" s="10">
        <v>0</v>
      </c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>
        <v>1</v>
      </c>
      <c r="E28" s="10"/>
      <c r="F28" s="10">
        <v>0</v>
      </c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>
        <v>1</v>
      </c>
      <c r="E29" s="10"/>
      <c r="F29" s="10">
        <v>4</v>
      </c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>
        <v>2</v>
      </c>
      <c r="E30" s="10"/>
      <c r="F30" s="10">
        <v>0</v>
      </c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>
        <v>1</v>
      </c>
      <c r="E31" s="10"/>
      <c r="F31" s="10">
        <v>1</v>
      </c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>
        <v>1</v>
      </c>
      <c r="E32" s="10"/>
      <c r="F32" s="10">
        <v>1</v>
      </c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>
        <v>0</v>
      </c>
      <c r="E33" s="10"/>
      <c r="F33" s="10">
        <v>1</v>
      </c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17" t="s">
        <v>24</v>
      </c>
      <c r="B34" s="18">
        <v>118</v>
      </c>
      <c r="C34" s="18">
        <f>(1671770.95/1200)*B34</f>
      </c>
      <c r="D34" s="18">
        <v>2</v>
      </c>
      <c r="E34" s="18"/>
      <c r="F34" s="18">
        <v>11</v>
      </c>
      <c r="G34" s="18"/>
      <c r="H34" s="18">
        <f>D34*$D$18 + E34*$E$18 + F34*$F$18 + G34*$G$18</f>
      </c>
      <c r="I34" s="18">
        <f>C34-H34</f>
      </c>
      <c r="J34" s="18">
        <f>SUM(D34:G34)</f>
      </c>
      <c r="K34" s="14">
        <f>SUM(I34:I37)</f>
      </c>
      <c r="L34" s="16" t="s">
        <v>25</v>
      </c>
    </row>
    <row r="35">
      <c r="A35" s="5" t="s">
        <v>26</v>
      </c>
      <c r="B35" s="13">
        <v>119</v>
      </c>
      <c r="C35" s="10">
        <f>(1671770.95/1200)*B35</f>
      </c>
      <c r="D35" s="10">
        <v>1</v>
      </c>
      <c r="E35" s="10"/>
      <c r="F35" s="10">
        <v>10</v>
      </c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27</v>
      </c>
      <c r="B36" s="13">
        <v>83</v>
      </c>
      <c r="C36" s="10">
        <f>(1671770.95/1200)*B36</f>
      </c>
      <c r="D36" s="10">
        <v>1</v>
      </c>
      <c r="E36" s="10"/>
      <c r="F36" s="10">
        <v>6</v>
      </c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28</v>
      </c>
      <c r="B37" s="13">
        <v>83</v>
      </c>
      <c r="C37" s="10">
        <f>(1671770.95/1200)*B37</f>
      </c>
      <c r="D37" s="10">
        <v>1</v>
      </c>
      <c r="E37" s="10"/>
      <c r="F37" s="10">
        <v>9</v>
      </c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29</v>
      </c>
      <c r="B38" s="13">
        <v>31</v>
      </c>
      <c r="C38" s="10">
        <f>(1671770.95/1200)*B38</f>
      </c>
      <c r="D38" s="10">
        <v>2</v>
      </c>
      <c r="E38" s="10"/>
      <c r="F38" s="10">
        <v>1</v>
      </c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30</v>
      </c>
      <c r="B39" s="13">
        <v>39</v>
      </c>
      <c r="C39" s="10">
        <f>(1671770.95/1200)*B39</f>
      </c>
      <c r="D39" s="10">
        <v>1</v>
      </c>
      <c r="E39" s="10"/>
      <c r="F39" s="10">
        <v>5</v>
      </c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31</v>
      </c>
      <c r="B40" s="13">
        <v>19</v>
      </c>
      <c r="C40" s="10">
        <f>(1671770.95/1200)*B40</f>
      </c>
      <c r="D40" s="10">
        <v>0</v>
      </c>
      <c r="E40" s="10"/>
      <c r="F40" s="10">
        <v>1</v>
      </c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32</v>
      </c>
      <c r="B41" s="13">
        <v>24</v>
      </c>
      <c r="C41" s="10">
        <f>(1671770.95/1200)*B41</f>
      </c>
      <c r="D41" s="10">
        <v>1</v>
      </c>
      <c r="E41" s="10"/>
      <c r="F41" s="10">
        <v>1</v>
      </c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33</v>
      </c>
      <c r="B42" s="13">
        <v>12</v>
      </c>
      <c r="C42" s="10">
        <f>(1671770.95/1200)*B42</f>
      </c>
      <c r="D42" s="10">
        <v>0</v>
      </c>
      <c r="E42" s="10"/>
      <c r="F42" s="10">
        <v>1</v>
      </c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34</v>
      </c>
      <c r="B43" s="13">
        <v>21</v>
      </c>
      <c r="C43" s="10">
        <f>(1671770.95/1200)*B43</f>
      </c>
      <c r="D43" s="10">
        <v>0</v>
      </c>
      <c r="E43" s="10"/>
      <c r="F43" s="10">
        <v>2</v>
      </c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35</v>
      </c>
      <c r="B44" s="13">
        <v>18</v>
      </c>
      <c r="C44" s="10">
        <f>(1671770.95/1200)*B44</f>
      </c>
      <c r="D44" s="10">
        <v>1</v>
      </c>
      <c r="E44" s="10"/>
      <c r="F44" s="10">
        <v>0</v>
      </c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36</v>
      </c>
      <c r="B45" s="13">
        <v>9</v>
      </c>
      <c r="C45" s="10">
        <f>(1671770.95/1200)*B45</f>
      </c>
      <c r="D45" s="10">
        <v>0</v>
      </c>
      <c r="E45" s="10"/>
      <c r="F45" s="10">
        <v>1</v>
      </c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37</v>
      </c>
      <c r="B46" s="13">
        <v>9</v>
      </c>
      <c r="C46" s="10">
        <f>(1671770.95/1200)*B46</f>
      </c>
      <c r="D46" s="10">
        <v>1</v>
      </c>
      <c r="E46" s="10"/>
      <c r="F46" s="10">
        <v>1</v>
      </c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38</v>
      </c>
      <c r="B47" s="13">
        <v>25</v>
      </c>
      <c r="C47" s="10">
        <f>(1671770.95/1200)*B47</f>
      </c>
      <c r="D47" s="10">
        <v>1</v>
      </c>
      <c r="E47" s="10"/>
      <c r="F47" s="10">
        <v>1</v>
      </c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39</v>
      </c>
      <c r="B48" s="13">
        <v>11</v>
      </c>
      <c r="C48" s="10">
        <f>(1671770.95/1200)*B48</f>
      </c>
      <c r="D48" s="10">
        <v>0</v>
      </c>
      <c r="E48" s="10"/>
      <c r="F48" s="10">
        <v>1</v>
      </c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40</v>
      </c>
      <c r="B49" s="13">
        <v>14</v>
      </c>
      <c r="C49" s="10">
        <f>(1671770.95/1200)*B49</f>
      </c>
      <c r="D49" s="10">
        <v>1</v>
      </c>
      <c r="E49" s="10"/>
      <c r="F49" s="10">
        <v>1</v>
      </c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41</v>
      </c>
      <c r="B50" s="13">
        <v>13</v>
      </c>
      <c r="C50" s="10">
        <f>(1671770.95/1200)*B50</f>
      </c>
      <c r="D50" s="10">
        <v>1</v>
      </c>
      <c r="E50" s="10"/>
      <c r="F50" s="10">
        <v>0</v>
      </c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42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17" t="s">
        <v>43</v>
      </c>
      <c r="B52" s="18">
        <v>41</v>
      </c>
      <c r="C52" s="18">
        <f>(1671770.95/1200)*B52</f>
      </c>
      <c r="D52" s="18">
        <v>3</v>
      </c>
      <c r="E52" s="18"/>
      <c r="F52" s="18">
        <v>1</v>
      </c>
      <c r="G52" s="18"/>
      <c r="H52" s="18">
        <f>D52*$D$18 + E52*$E$18 + F52*$F$18 + G52*$G$18</f>
      </c>
      <c r="I52" s="18">
        <f>C52-H52</f>
      </c>
      <c r="J52" s="18">
        <f>SUM(D52:G52)</f>
      </c>
      <c r="K52" s="14">
        <f>SUM(I52:I53)</f>
      </c>
      <c r="L52" s="16" t="s">
        <v>44</v>
      </c>
    </row>
    <row r="53">
      <c r="A53" s="5" t="s">
        <v>45</v>
      </c>
      <c r="B53" s="13">
        <v>40</v>
      </c>
      <c r="C53" s="10">
        <f>(1671770.95/1200)*B53</f>
      </c>
      <c r="D53" s="10">
        <v>1</v>
      </c>
      <c r="E53" s="10"/>
      <c r="F53" s="10">
        <v>3</v>
      </c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46</v>
      </c>
      <c r="B54" s="13">
        <v>21</v>
      </c>
      <c r="C54" s="10">
        <f>(1671770.95/1200)*B54</f>
      </c>
      <c r="D54" s="10">
        <v>0</v>
      </c>
      <c r="E54" s="10"/>
      <c r="F54" s="10">
        <v>2</v>
      </c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47</v>
      </c>
      <c r="B55" s="13">
        <v>21</v>
      </c>
      <c r="C55" s="10">
        <f>(1671770.95/1200)*B55</f>
      </c>
      <c r="D55" s="10">
        <v>0</v>
      </c>
      <c r="E55" s="10"/>
      <c r="F55" s="10">
        <v>2</v>
      </c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17" t="s">
        <v>48</v>
      </c>
      <c r="B56" s="18">
        <v>20</v>
      </c>
      <c r="C56" s="18">
        <f>(1671770.95/1200)*B56</f>
      </c>
      <c r="D56" s="18">
        <v>1</v>
      </c>
      <c r="E56" s="18"/>
      <c r="F56" s="18">
        <v>1</v>
      </c>
      <c r="G56" s="18"/>
      <c r="H56" s="18">
        <f>D56*$D$18 + E56*$E$18 + F56*$F$18 + G56*$G$18</f>
      </c>
      <c r="I56" s="18">
        <f>C56-H56</f>
      </c>
      <c r="J56" s="18">
        <f>SUM(D56:G56)</f>
      </c>
      <c r="K56" s="14">
        <f>SUM(I56:I57)</f>
      </c>
      <c r="L56" s="16" t="s">
        <v>49</v>
      </c>
    </row>
    <row r="57">
      <c r="A57" s="5" t="s">
        <v>50</v>
      </c>
      <c r="B57" s="13">
        <v>18</v>
      </c>
      <c r="C57" s="10">
        <f>(1671770.95/1200)*B57</f>
      </c>
      <c r="D57" s="10">
        <v>0</v>
      </c>
      <c r="E57" s="10"/>
      <c r="F57" s="10">
        <v>2</v>
      </c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51</v>
      </c>
      <c r="B58" s="13">
        <v>30</v>
      </c>
      <c r="C58" s="10">
        <f>(1671770.95/1200)*B58</f>
      </c>
      <c r="D58" s="10">
        <v>2</v>
      </c>
      <c r="E58" s="10"/>
      <c r="F58" s="10">
        <v>0</v>
      </c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17" t="s">
        <v>52</v>
      </c>
      <c r="B59" s="18">
        <v>27</v>
      </c>
      <c r="C59" s="18">
        <f>(1671770.95/1200)*B59</f>
      </c>
      <c r="D59" s="18">
        <v>3</v>
      </c>
      <c r="E59" s="18"/>
      <c r="F59" s="18">
        <v>0</v>
      </c>
      <c r="G59" s="18"/>
      <c r="H59" s="18">
        <f>D59*$D$19 + E59*$E$19 + F59*$F$19 + G59*$G$19</f>
      </c>
      <c r="I59" s="18">
        <f>C59-H59</f>
      </c>
      <c r="J59" s="18">
        <f>SUM(D59:G59)</f>
      </c>
      <c r="K59" s="14"/>
      <c r="L59" s="16" t="s">
        <v>53</v>
      </c>
    </row>
    <row r="60">
      <c r="A60" s="5" t="s">
        <v>54</v>
      </c>
      <c r="B60" s="13">
        <v>37</v>
      </c>
      <c r="C60" s="10">
        <f>(1671770.95/1200)*B60</f>
      </c>
      <c r="D60" s="10">
        <v>1</v>
      </c>
      <c r="E60" s="10"/>
      <c r="F60" s="10">
        <v>3</v>
      </c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55</v>
      </c>
      <c r="B61" s="13">
        <v>15</v>
      </c>
      <c r="C61" s="10">
        <f>(1671770.95/1200)*B61</f>
      </c>
      <c r="D61" s="10">
        <v>1</v>
      </c>
      <c r="E61" s="10"/>
      <c r="F61" s="10">
        <v>0</v>
      </c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56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57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